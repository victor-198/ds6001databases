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atients" sheetId="2" r:id="rId6"/>
    <sheet state="visible" name="Prior_Conditions" sheetId="3" r:id="rId7"/>
    <sheet state="visible" name="Drugs" sheetId="4" r:id="rId8"/>
    <sheet state="visible" name="Physicians" sheetId="5" r:id="rId9"/>
    <sheet state="visible" name="Hospitals" sheetId="6" r:id="rId10"/>
    <sheet state="visible" name="Column descriptions" sheetId="7" r:id="rId11"/>
  </sheets>
  <definedNames/>
  <calcPr/>
</workbook>
</file>

<file path=xl/sharedStrings.xml><?xml version="1.0" encoding="utf-8"?>
<sst xmlns="http://schemas.openxmlformats.org/spreadsheetml/2006/main" count="163" uniqueCount="97">
  <si>
    <t>patient_name</t>
  </si>
  <si>
    <t>date_of_birth</t>
  </si>
  <si>
    <t>prescribed_drug</t>
  </si>
  <si>
    <t>patient_sex</t>
  </si>
  <si>
    <t>prescribing_physician</t>
  </si>
  <si>
    <t>patient_insurance</t>
  </si>
  <si>
    <t>Nkemdilim Arendonk</t>
  </si>
  <si>
    <t>prior_conditions</t>
  </si>
  <si>
    <t>M</t>
  </si>
  <si>
    <t>Pneumonia</t>
  </si>
  <si>
    <t>Aetna</t>
  </si>
  <si>
    <t>Raniero Coumans</t>
  </si>
  <si>
    <t>Amoxil</t>
  </si>
  <si>
    <t>Earnest Caro</t>
  </si>
  <si>
    <t>Cigna</t>
  </si>
  <si>
    <t>Diabetes</t>
  </si>
  <si>
    <t>Mizuki Debenham</t>
  </si>
  <si>
    <t>F</t>
  </si>
  <si>
    <t>Micronase</t>
  </si>
  <si>
    <t>Rubella</t>
  </si>
  <si>
    <t>Kaiser Permanente</t>
  </si>
  <si>
    <t>Zoë De Witt</t>
  </si>
  <si>
    <t>Zosyn</t>
  </si>
  <si>
    <t>Appendicitis</t>
  </si>
  <si>
    <t>Pamela English</t>
  </si>
  <si>
    <t>Medicare</t>
  </si>
  <si>
    <t>Bonnie Hooper</t>
  </si>
  <si>
    <t>Crohn's disease</t>
  </si>
  <si>
    <t>Humira</t>
  </si>
  <si>
    <t>Samantha Bergerson</t>
  </si>
  <si>
    <t>Blue Cross Blue Shield</t>
  </si>
  <si>
    <t>Mononucleosis</t>
  </si>
  <si>
    <t>Inlyta</t>
  </si>
  <si>
    <t>Lewis Conti</t>
  </si>
  <si>
    <t>Kidney Cancer</t>
  </si>
  <si>
    <t>Cardiomyopathy</t>
  </si>
  <si>
    <t>Atenolol</t>
  </si>
  <si>
    <t>Theresa Dahlmans</t>
  </si>
  <si>
    <t>Sciatica</t>
  </si>
  <si>
    <t>Hilde Ali</t>
  </si>
  <si>
    <t>Shingles</t>
  </si>
  <si>
    <t>Demerol</t>
  </si>
  <si>
    <t>Pancreatic Cancer</t>
  </si>
  <si>
    <t>Xeloda</t>
  </si>
  <si>
    <t>Steven Garbutt</t>
  </si>
  <si>
    <t>drug_maker</t>
  </si>
  <si>
    <t>drug_cost</t>
  </si>
  <si>
    <t>USAntibiotics</t>
  </si>
  <si>
    <t>Pfizer</t>
  </si>
  <si>
    <t>Baxter International Inc</t>
  </si>
  <si>
    <t>Abbvie</t>
  </si>
  <si>
    <t>Mylan Pharmaceuticals</t>
  </si>
  <si>
    <t>Genentech</t>
  </si>
  <si>
    <t>physician_medschool</t>
  </si>
  <si>
    <t>physician_years_experience</t>
  </si>
  <si>
    <t>hospital</t>
  </si>
  <si>
    <t>University of California (Irvine)</t>
  </si>
  <si>
    <t>UPMC Presbyterian Shadyside</t>
  </si>
  <si>
    <t>University of Michigan</t>
  </si>
  <si>
    <t>Northwestern Memorial Hospital</t>
  </si>
  <si>
    <t>Johns Hopkins University</t>
  </si>
  <si>
    <t>North Carolina State University</t>
  </si>
  <si>
    <t>Houston Methodist Hospital</t>
  </si>
  <si>
    <t>Lake Erie College of Medicine</t>
  </si>
  <si>
    <t>Mount Sinai Hospital</t>
  </si>
  <si>
    <t>Colorado University Boulder</t>
  </si>
  <si>
    <t>Ohio State University</t>
  </si>
  <si>
    <t>UCSF Medical Center</t>
  </si>
  <si>
    <t>hospital_location</t>
  </si>
  <si>
    <t>Pittsburgh, PA</t>
  </si>
  <si>
    <t>Chicago, IL</t>
  </si>
  <si>
    <t>Houston, TX</t>
  </si>
  <si>
    <t>New York, NY</t>
  </si>
  <si>
    <t>San Francisco, CA</t>
  </si>
  <si>
    <t>Column</t>
  </si>
  <si>
    <t>Description</t>
  </si>
  <si>
    <t>Notes</t>
  </si>
  <si>
    <t>Patient's first and last name</t>
  </si>
  <si>
    <t>No two patients share both the same name and date of birth</t>
  </si>
  <si>
    <t>Patient's date of birth</t>
  </si>
  <si>
    <t>Brand name of the drug prescribed during the visit</t>
  </si>
  <si>
    <t>No two drugs share the same name and no patient receives the same prescription more than once. patient_name, date_of_birth, and prescribed_drug together are a primary key for the data listed under the "Data" tab of this spreadsheet</t>
  </si>
  <si>
    <t>List of patient's prior medical conditions</t>
  </si>
  <si>
    <t>Patient's biological sex at birth</t>
  </si>
  <si>
    <t>Different from gender identity</t>
  </si>
  <si>
    <t xml:space="preserve">Company providing patient's primary health insurance </t>
  </si>
  <si>
    <t>Patients do not change their insurance provider</t>
  </si>
  <si>
    <t>Pharmaceutical company that makes the prescribed drug</t>
  </si>
  <si>
    <t>Negotiated cost of prescribed drug</t>
  </si>
  <si>
    <t>Name of the physician who issued the prescription</t>
  </si>
  <si>
    <t>No two physicians in the data share the same name</t>
  </si>
  <si>
    <t xml:space="preserve">Medical school where prescribing physician received degree </t>
  </si>
  <si>
    <t>Number of years prescribing physician has worked as a physician</t>
  </si>
  <si>
    <t>Hospital where prescribing physician is employed</t>
  </si>
  <si>
    <t>Every physician in the data works at one hospital and no two hospitals share the same name</t>
  </si>
  <si>
    <t>Location of hospital</t>
  </si>
  <si>
    <t>Every hospital has only one 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</si>
</sst>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1.63"/>
    <col customWidth="1" min="3" max="3" width="14.25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6</v>
      </c>
      <c r="B2" s="4">
        <v>22698.0</v>
      </c>
      <c r="C2" s="3" t="s">
        <v>12</v>
      </c>
      <c r="D2" s="3" t="s">
        <v>13</v>
      </c>
    </row>
    <row r="3">
      <c r="A3" s="3" t="s">
        <v>6</v>
      </c>
      <c r="B3" s="4">
        <v>22698.0</v>
      </c>
      <c r="C3" s="3" t="s">
        <v>18</v>
      </c>
      <c r="D3" s="3" t="s">
        <v>13</v>
      </c>
    </row>
    <row r="4">
      <c r="A4" s="3" t="s">
        <v>11</v>
      </c>
      <c r="B4" s="4">
        <v>33100.0</v>
      </c>
      <c r="C4" s="3" t="s">
        <v>22</v>
      </c>
      <c r="D4" s="3" t="s">
        <v>24</v>
      </c>
    </row>
    <row r="5">
      <c r="A5" s="3" t="s">
        <v>11</v>
      </c>
      <c r="B5" s="4">
        <v>33100.0</v>
      </c>
      <c r="C5" s="3" t="s">
        <v>28</v>
      </c>
      <c r="D5" s="3" t="s">
        <v>29</v>
      </c>
    </row>
    <row r="6">
      <c r="A6" s="3" t="s">
        <v>16</v>
      </c>
      <c r="B6" s="4">
        <v>28196.0</v>
      </c>
      <c r="C6" s="3" t="s">
        <v>32</v>
      </c>
      <c r="D6" s="3" t="s">
        <v>33</v>
      </c>
    </row>
    <row r="7">
      <c r="A7" s="3" t="s">
        <v>21</v>
      </c>
      <c r="B7" s="4">
        <v>17494.0</v>
      </c>
      <c r="C7" s="3" t="s">
        <v>36</v>
      </c>
      <c r="D7" s="3" t="s">
        <v>37</v>
      </c>
    </row>
    <row r="8">
      <c r="A8" s="3" t="s">
        <v>21</v>
      </c>
      <c r="B8" s="4">
        <v>17494.0</v>
      </c>
      <c r="C8" s="3" t="s">
        <v>18</v>
      </c>
      <c r="D8" s="3" t="s">
        <v>39</v>
      </c>
    </row>
    <row r="9">
      <c r="A9" s="3" t="s">
        <v>21</v>
      </c>
      <c r="B9" s="4">
        <v>17494.0</v>
      </c>
      <c r="C9" s="3" t="s">
        <v>41</v>
      </c>
      <c r="D9" s="3" t="s">
        <v>39</v>
      </c>
    </row>
    <row r="10">
      <c r="A10" s="3" t="s">
        <v>26</v>
      </c>
      <c r="B10" s="4">
        <v>18813.0</v>
      </c>
      <c r="C10" s="3" t="s">
        <v>43</v>
      </c>
      <c r="D10" s="3" t="s">
        <v>44</v>
      </c>
    </row>
    <row r="11">
      <c r="A11" s="3" t="s">
        <v>26</v>
      </c>
      <c r="B11" s="4">
        <v>18813.0</v>
      </c>
      <c r="C11" s="3" t="s">
        <v>41</v>
      </c>
      <c r="D11" s="3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3" t="s">
        <v>6</v>
      </c>
      <c r="B2" s="4">
        <v>22698.0</v>
      </c>
      <c r="C2" s="3" t="s">
        <v>8</v>
      </c>
      <c r="D2" s="3" t="s">
        <v>10</v>
      </c>
    </row>
    <row r="3">
      <c r="A3" s="3" t="s">
        <v>11</v>
      </c>
      <c r="B3" s="4">
        <v>33100.0</v>
      </c>
      <c r="C3" s="3" t="s">
        <v>8</v>
      </c>
      <c r="D3" s="3" t="s">
        <v>14</v>
      </c>
    </row>
    <row r="4">
      <c r="A4" s="3" t="s">
        <v>16</v>
      </c>
      <c r="B4" s="4">
        <v>28196.0</v>
      </c>
      <c r="C4" s="3" t="s">
        <v>17</v>
      </c>
      <c r="D4" s="3" t="s">
        <v>20</v>
      </c>
    </row>
    <row r="5">
      <c r="A5" s="3" t="s">
        <v>21</v>
      </c>
      <c r="B5" s="4">
        <v>17494.0</v>
      </c>
      <c r="C5" s="3" t="s">
        <v>17</v>
      </c>
      <c r="D5" s="3" t="s">
        <v>25</v>
      </c>
    </row>
    <row r="6">
      <c r="A6" s="3" t="s">
        <v>26</v>
      </c>
      <c r="B6" s="4">
        <v>18813.0</v>
      </c>
      <c r="C6" s="3" t="s">
        <v>17</v>
      </c>
      <c r="D6" s="3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</v>
      </c>
    </row>
    <row r="2">
      <c r="A2" s="3" t="s">
        <v>6</v>
      </c>
      <c r="B2" s="4">
        <v>22698.0</v>
      </c>
      <c r="C2" s="3" t="s">
        <v>9</v>
      </c>
    </row>
    <row r="3">
      <c r="A3" s="3" t="s">
        <v>6</v>
      </c>
      <c r="B3" s="4">
        <v>22698.0</v>
      </c>
      <c r="C3" s="3" t="s">
        <v>15</v>
      </c>
    </row>
    <row r="4">
      <c r="A4" s="3" t="s">
        <v>6</v>
      </c>
      <c r="B4" s="4">
        <v>22698.0</v>
      </c>
      <c r="C4" s="3" t="s">
        <v>19</v>
      </c>
    </row>
    <row r="5">
      <c r="A5" s="3" t="s">
        <v>11</v>
      </c>
      <c r="B5" s="4">
        <v>33100.0</v>
      </c>
      <c r="C5" s="3" t="s">
        <v>23</v>
      </c>
    </row>
    <row r="6">
      <c r="A6" s="3" t="s">
        <v>11</v>
      </c>
      <c r="B6" s="4">
        <v>33100.0</v>
      </c>
      <c r="C6" s="3" t="s">
        <v>27</v>
      </c>
    </row>
    <row r="7">
      <c r="A7" s="3" t="s">
        <v>11</v>
      </c>
      <c r="B7" s="4">
        <v>33100.0</v>
      </c>
      <c r="C7" s="3" t="s">
        <v>31</v>
      </c>
    </row>
    <row r="8">
      <c r="A8" s="3" t="s">
        <v>16</v>
      </c>
      <c r="B8" s="4">
        <v>28196.0</v>
      </c>
      <c r="C8" s="3" t="s">
        <v>34</v>
      </c>
    </row>
    <row r="9">
      <c r="A9" s="3" t="s">
        <v>21</v>
      </c>
      <c r="B9" s="4">
        <v>17494.0</v>
      </c>
      <c r="C9" s="3" t="s">
        <v>35</v>
      </c>
    </row>
    <row r="10">
      <c r="A10" s="3" t="s">
        <v>21</v>
      </c>
      <c r="B10" s="4">
        <v>17494.0</v>
      </c>
      <c r="C10" s="3" t="s">
        <v>15</v>
      </c>
    </row>
    <row r="11">
      <c r="A11" s="3" t="s">
        <v>21</v>
      </c>
      <c r="B11" s="4">
        <v>17494.0</v>
      </c>
      <c r="C11" s="3" t="s">
        <v>38</v>
      </c>
    </row>
    <row r="12">
      <c r="A12" s="3" t="s">
        <v>21</v>
      </c>
      <c r="B12" s="4">
        <v>17494.0</v>
      </c>
      <c r="C12" s="3" t="s">
        <v>40</v>
      </c>
    </row>
    <row r="13">
      <c r="A13" s="3" t="s">
        <v>26</v>
      </c>
      <c r="B13" s="4">
        <v>18813.0</v>
      </c>
      <c r="C13" s="3" t="s">
        <v>42</v>
      </c>
    </row>
    <row r="14">
      <c r="A14" s="3" t="s">
        <v>26</v>
      </c>
      <c r="B14" s="4">
        <v>18813.0</v>
      </c>
      <c r="C14" s="3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25"/>
    <col customWidth="1" min="3" max="3" width="9.13"/>
  </cols>
  <sheetData>
    <row r="1">
      <c r="A1" s="1" t="s">
        <v>2</v>
      </c>
      <c r="B1" s="1" t="s">
        <v>45</v>
      </c>
      <c r="C1" s="1" t="s">
        <v>46</v>
      </c>
    </row>
    <row r="2">
      <c r="A2" s="3" t="s">
        <v>12</v>
      </c>
      <c r="B2" s="3" t="s">
        <v>47</v>
      </c>
      <c r="C2" s="3">
        <v>14.62</v>
      </c>
    </row>
    <row r="3">
      <c r="A3" s="3" t="s">
        <v>18</v>
      </c>
      <c r="B3" s="3" t="s">
        <v>48</v>
      </c>
      <c r="C3" s="3">
        <v>20.55</v>
      </c>
    </row>
    <row r="4">
      <c r="A4" s="3" t="s">
        <v>22</v>
      </c>
      <c r="B4" s="3" t="s">
        <v>49</v>
      </c>
      <c r="C4" s="3">
        <v>394.0</v>
      </c>
    </row>
    <row r="5">
      <c r="A5" s="3" t="s">
        <v>28</v>
      </c>
      <c r="B5" s="3" t="s">
        <v>50</v>
      </c>
      <c r="C5" s="3">
        <v>7000.0</v>
      </c>
    </row>
    <row r="6">
      <c r="A6" s="3" t="s">
        <v>32</v>
      </c>
      <c r="B6" s="3" t="s">
        <v>48</v>
      </c>
      <c r="C6" s="3">
        <v>21644.0</v>
      </c>
    </row>
    <row r="7">
      <c r="A7" s="3" t="s">
        <v>36</v>
      </c>
      <c r="B7" s="3" t="s">
        <v>51</v>
      </c>
      <c r="C7" s="3">
        <v>10.58</v>
      </c>
    </row>
    <row r="8">
      <c r="A8" s="3" t="s">
        <v>18</v>
      </c>
      <c r="B8" s="3" t="s">
        <v>48</v>
      </c>
      <c r="C8" s="3">
        <v>20.55</v>
      </c>
    </row>
    <row r="9">
      <c r="A9" s="3" t="s">
        <v>41</v>
      </c>
      <c r="B9" s="3" t="s">
        <v>48</v>
      </c>
      <c r="C9" s="3">
        <v>37.5</v>
      </c>
    </row>
    <row r="10">
      <c r="A10" s="3" t="s">
        <v>43</v>
      </c>
      <c r="B10" s="3" t="s">
        <v>52</v>
      </c>
      <c r="C10" s="3">
        <v>860.0</v>
      </c>
    </row>
    <row r="11">
      <c r="A11" s="3"/>
      <c r="B11" s="3"/>
      <c r="C1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53</v>
      </c>
      <c r="C1" s="1" t="s">
        <v>54</v>
      </c>
      <c r="D1" s="1" t="s">
        <v>55</v>
      </c>
    </row>
    <row r="2">
      <c r="A2" s="3" t="s">
        <v>13</v>
      </c>
      <c r="B2" s="3" t="s">
        <v>56</v>
      </c>
      <c r="C2" s="3">
        <v>14.0</v>
      </c>
      <c r="D2" s="3" t="s">
        <v>57</v>
      </c>
    </row>
    <row r="3">
      <c r="A3" s="3" t="s">
        <v>24</v>
      </c>
      <c r="B3" s="3" t="s">
        <v>58</v>
      </c>
      <c r="C3" s="3">
        <v>29.0</v>
      </c>
      <c r="D3" s="3" t="s">
        <v>59</v>
      </c>
    </row>
    <row r="4">
      <c r="A4" s="3" t="s">
        <v>29</v>
      </c>
      <c r="B4" s="3" t="s">
        <v>60</v>
      </c>
      <c r="C4" s="3">
        <v>10.0</v>
      </c>
      <c r="D4" s="3" t="s">
        <v>59</v>
      </c>
    </row>
    <row r="5">
      <c r="A5" s="3" t="s">
        <v>33</v>
      </c>
      <c r="B5" s="3" t="s">
        <v>61</v>
      </c>
      <c r="C5" s="3">
        <v>8.0</v>
      </c>
      <c r="D5" s="3" t="s">
        <v>62</v>
      </c>
    </row>
    <row r="6">
      <c r="A6" s="3" t="s">
        <v>37</v>
      </c>
      <c r="B6" s="3" t="s">
        <v>63</v>
      </c>
      <c r="C6" s="3">
        <v>17.0</v>
      </c>
      <c r="D6" s="3" t="s">
        <v>64</v>
      </c>
    </row>
    <row r="7">
      <c r="A7" s="3" t="s">
        <v>39</v>
      </c>
      <c r="B7" s="3" t="s">
        <v>65</v>
      </c>
      <c r="C7" s="3">
        <v>11.0</v>
      </c>
      <c r="D7" s="3" t="s">
        <v>64</v>
      </c>
    </row>
    <row r="8">
      <c r="A8" s="3" t="s">
        <v>44</v>
      </c>
      <c r="B8" s="3" t="s">
        <v>66</v>
      </c>
      <c r="C8" s="3">
        <v>36.0</v>
      </c>
      <c r="D8" s="3" t="s">
        <v>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68</v>
      </c>
    </row>
    <row r="2">
      <c r="A2" s="3" t="s">
        <v>57</v>
      </c>
      <c r="B2" s="3" t="s">
        <v>69</v>
      </c>
    </row>
    <row r="3">
      <c r="A3" s="3" t="s">
        <v>59</v>
      </c>
      <c r="B3" s="3" t="s">
        <v>70</v>
      </c>
    </row>
    <row r="4">
      <c r="A4" s="3" t="s">
        <v>62</v>
      </c>
      <c r="B4" s="3" t="s">
        <v>71</v>
      </c>
    </row>
    <row r="5">
      <c r="A5" s="3" t="s">
        <v>64</v>
      </c>
      <c r="B5" s="3" t="s">
        <v>72</v>
      </c>
    </row>
    <row r="6">
      <c r="A6" s="3" t="s">
        <v>67</v>
      </c>
      <c r="B6" s="3" t="s">
        <v>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50.25"/>
    <col customWidth="1" min="3" max="3" width="78.25"/>
  </cols>
  <sheetData>
    <row r="1">
      <c r="A1" s="5" t="s">
        <v>74</v>
      </c>
      <c r="B1" s="5" t="s">
        <v>75</v>
      </c>
      <c r="C1" s="5" t="s">
        <v>76</v>
      </c>
    </row>
    <row r="2">
      <c r="A2" s="6" t="str">
        <f>Data!A1</f>
        <v>patient_name</v>
      </c>
      <c r="B2" s="6" t="s">
        <v>77</v>
      </c>
      <c r="C2" s="7" t="s">
        <v>78</v>
      </c>
    </row>
    <row r="3">
      <c r="A3" s="6" t="str">
        <f>Data!B1</f>
        <v>date_of_birth</v>
      </c>
      <c r="B3" s="6" t="s">
        <v>79</v>
      </c>
      <c r="C3" s="8"/>
    </row>
    <row r="4">
      <c r="A4" s="9" t="str">
        <f>Data!C1</f>
        <v>prescribed_drug</v>
      </c>
      <c r="B4" s="6" t="s">
        <v>80</v>
      </c>
      <c r="C4" s="7" t="s">
        <v>81</v>
      </c>
    </row>
    <row r="5">
      <c r="A5" s="9" t="str">
        <f t="shared" ref="A5:A9" si="1">#REF!</f>
        <v>#REF!</v>
      </c>
      <c r="B5" s="6" t="s">
        <v>82</v>
      </c>
      <c r="C5" s="8"/>
    </row>
    <row r="6">
      <c r="A6" s="9" t="str">
        <f t="shared" si="1"/>
        <v>#REF!</v>
      </c>
      <c r="B6" s="6" t="s">
        <v>83</v>
      </c>
      <c r="C6" s="7" t="s">
        <v>84</v>
      </c>
    </row>
    <row r="7">
      <c r="A7" s="9" t="str">
        <f t="shared" si="1"/>
        <v>#REF!</v>
      </c>
      <c r="B7" s="6" t="s">
        <v>85</v>
      </c>
      <c r="C7" s="7" t="s">
        <v>86</v>
      </c>
    </row>
    <row r="8">
      <c r="A8" s="9" t="str">
        <f t="shared" si="1"/>
        <v>#REF!</v>
      </c>
      <c r="B8" s="6" t="s">
        <v>87</v>
      </c>
      <c r="C8" s="8"/>
    </row>
    <row r="9">
      <c r="A9" s="9" t="str">
        <f t="shared" si="1"/>
        <v>#REF!</v>
      </c>
      <c r="B9" s="6" t="s">
        <v>88</v>
      </c>
      <c r="C9" s="8"/>
    </row>
    <row r="10">
      <c r="A10" s="9" t="str">
        <f>Data!D1</f>
        <v>prescribing_physician</v>
      </c>
      <c r="B10" s="6" t="s">
        <v>89</v>
      </c>
      <c r="C10" s="7" t="s">
        <v>90</v>
      </c>
    </row>
    <row r="11">
      <c r="A11" s="9" t="str">
        <f t="shared" ref="A11:A14" si="2">#REF!</f>
        <v>#REF!</v>
      </c>
      <c r="B11" s="6" t="s">
        <v>91</v>
      </c>
      <c r="C11" s="8"/>
    </row>
    <row r="12">
      <c r="A12" s="9" t="str">
        <f t="shared" si="2"/>
        <v>#REF!</v>
      </c>
      <c r="B12" s="6" t="s">
        <v>92</v>
      </c>
      <c r="C12" s="8"/>
    </row>
    <row r="13">
      <c r="A13" s="9" t="str">
        <f t="shared" si="2"/>
        <v>#REF!</v>
      </c>
      <c r="B13" s="6" t="s">
        <v>93</v>
      </c>
      <c r="C13" s="7" t="s">
        <v>94</v>
      </c>
    </row>
    <row r="14">
      <c r="A14" s="9" t="str">
        <f t="shared" si="2"/>
        <v>#REF!</v>
      </c>
      <c r="B14" s="6" t="s">
        <v>95</v>
      </c>
      <c r="C14" s="7" t="s">
        <v>96</v>
      </c>
    </row>
  </sheetData>
  <drawing r:id="rId1"/>
</worksheet>
</file>